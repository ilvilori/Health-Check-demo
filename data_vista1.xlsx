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vil\Documents\BEYOND INSIGHTS\diagnostico_express\diagnostico_express\diagnostico_express\diagnostico_express\"/>
    </mc:Choice>
  </mc:AlternateContent>
  <xr:revisionPtr revIDLastSave="0" documentId="13_ncr:1_{A988E10E-4CD7-41E5-A5F5-4BFBEFF50D6A}" xr6:coauthVersionLast="47" xr6:coauthVersionMax="47" xr10:uidLastSave="{00000000-0000-0000-0000-000000000000}"/>
  <bookViews>
    <workbookView xWindow="-98" yWindow="-98" windowWidth="19396" windowHeight="11475" xr2:uid="{AB5B5A7A-D97E-4930-A7F1-A3E67FD063ED}"/>
  </bookViews>
  <sheets>
    <sheet name="data_vist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6" i="1" l="1"/>
  <c r="Z16" i="1"/>
  <c r="Z11" i="1"/>
  <c r="AA11" i="1" s="1"/>
  <c r="Z6" i="1"/>
  <c r="AA6" i="1" s="1"/>
  <c r="X16" i="1"/>
</calcChain>
</file>

<file path=xl/sharedStrings.xml><?xml version="1.0" encoding="utf-8"?>
<sst xmlns="http://schemas.openxmlformats.org/spreadsheetml/2006/main" count="42" uniqueCount="33">
  <si>
    <t>Annual</t>
  </si>
  <si>
    <t>Tier</t>
  </si>
  <si>
    <t>Ventas</t>
  </si>
  <si>
    <t>Margen</t>
  </si>
  <si>
    <t>Margen USD</t>
  </si>
  <si>
    <t>Clientes</t>
  </si>
  <si>
    <t>Compra_anual</t>
  </si>
  <si>
    <t>Frecuencia</t>
  </si>
  <si>
    <t>Pdtos_compra</t>
  </si>
  <si>
    <t>Ticket_Prom</t>
  </si>
  <si>
    <t>Tiene_CD</t>
  </si>
  <si>
    <t>Cli_porc</t>
  </si>
  <si>
    <t>Tot</t>
  </si>
  <si>
    <t>Marg_Cli_USD</t>
  </si>
  <si>
    <t>Marg_Cli_Porc</t>
  </si>
  <si>
    <t>Precio_prom_pdtos_cli</t>
  </si>
  <si>
    <t>Pago_CD</t>
  </si>
  <si>
    <t>Pago_OFP</t>
  </si>
  <si>
    <t>NPS</t>
  </si>
  <si>
    <t>Recompra</t>
  </si>
  <si>
    <t>Cuali_NPS</t>
  </si>
  <si>
    <t>Mail</t>
  </si>
  <si>
    <t>WSP</t>
  </si>
  <si>
    <t>Contactable</t>
  </si>
  <si>
    <t>Atención, Atención, Amabilidad</t>
  </si>
  <si>
    <t>Atención,Aspecto tienda, Atención, Amabilidad</t>
  </si>
  <si>
    <t>Producto, Precio, Producto, Producto, Precio</t>
  </si>
  <si>
    <t>Atención, Atención, Amabilidad,Atención,Aspecto tienda, Atención, Amabilidad'Producto, Precio, Producto, Producto, Precio</t>
  </si>
  <si>
    <t>Clientes_Nuevos</t>
  </si>
  <si>
    <t>Ventas.USD_Clientes_Nuevos</t>
  </si>
  <si>
    <t>Ventas.Porc_Clientes_Nuevos</t>
  </si>
  <si>
    <t>Recompra_Nuevos</t>
  </si>
  <si>
    <t>Clientes_Nuevos_Porc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</si>
</sst>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87A8-5587-46BF-A5AC-C850A6FAD1B7}">
  <dimension ref="A1:AB25"/>
  <sheetViews>
    <sheetView tabSelected="1" topLeftCell="O1" workbookViewId="0">
      <selection activeCell="AB1" sqref="AB1"/>
    </sheetView>
  </sheetViews>
  <sheetFormatPr defaultRowHeight="14.25" x14ac:dyDescent="0.45"/>
  <cols>
    <col min="1" max="1" width="6.1328125" bestFit="1" customWidth="1"/>
    <col min="2" max="2" width="3.59765625" bestFit="1" customWidth="1"/>
    <col min="3" max="3" width="9.73046875" bestFit="1" customWidth="1"/>
    <col min="4" max="4" width="9.06640625" style="5"/>
    <col min="5" max="5" width="10.19921875" bestFit="1" customWidth="1"/>
    <col min="6" max="6" width="8.1328125" customWidth="1"/>
    <col min="7" max="7" width="12.1328125" bestFit="1" customWidth="1"/>
    <col min="9" max="9" width="12" bestFit="1" customWidth="1"/>
    <col min="10" max="10" width="11.265625" bestFit="1" customWidth="1"/>
    <col min="11" max="11" width="9.06640625" style="5"/>
    <col min="12" max="12" width="7.46484375" customWidth="1"/>
    <col min="13" max="13" width="10.3984375" bestFit="1" customWidth="1"/>
    <col min="14" max="14" width="10.796875" bestFit="1" customWidth="1"/>
    <col min="18" max="18" width="5.19921875" customWidth="1"/>
    <col min="21" max="21" width="10.33203125" bestFit="1" customWidth="1"/>
    <col min="22" max="22" width="4.265625" bestFit="1" customWidth="1"/>
    <col min="23" max="23" width="4.73046875" bestFit="1" customWidth="1"/>
    <col min="24" max="24" width="13.9296875" style="1" bestFit="1" customWidth="1"/>
    <col min="25" max="25" width="13.9296875" style="1" customWidth="1"/>
    <col min="26" max="26" width="24.1328125" style="1" bestFit="1" customWidth="1"/>
    <col min="27" max="27" width="24.265625" bestFit="1" customWidth="1"/>
    <col min="28" max="28" width="15.46484375" bestFit="1" customWidth="1"/>
  </cols>
  <sheetData>
    <row r="1" spans="1:28" x14ac:dyDescent="0.4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20</v>
      </c>
      <c r="T1" t="s">
        <v>19</v>
      </c>
      <c r="U1" t="s">
        <v>23</v>
      </c>
      <c r="V1" t="s">
        <v>21</v>
      </c>
      <c r="W1" t="s">
        <v>22</v>
      </c>
      <c r="X1" s="1" t="s">
        <v>28</v>
      </c>
      <c r="Y1" s="1" t="s">
        <v>32</v>
      </c>
      <c r="Z1" s="1" t="s">
        <v>29</v>
      </c>
      <c r="AA1" t="s">
        <v>30</v>
      </c>
      <c r="AB1" t="s">
        <v>31</v>
      </c>
    </row>
    <row r="2" spans="1:28" x14ac:dyDescent="0.45">
      <c r="A2">
        <v>2022</v>
      </c>
      <c r="B2">
        <v>1</v>
      </c>
      <c r="C2">
        <v>42400000</v>
      </c>
      <c r="D2" s="5">
        <v>0.44700000000000001</v>
      </c>
      <c r="E2" s="1">
        <v>18952800</v>
      </c>
      <c r="F2">
        <v>44094</v>
      </c>
      <c r="G2" s="1">
        <v>961.58207465868372</v>
      </c>
      <c r="H2" s="2">
        <v>8</v>
      </c>
      <c r="I2" s="3">
        <v>6</v>
      </c>
      <c r="J2" s="3">
        <v>120.19775933233547</v>
      </c>
      <c r="K2" s="5">
        <v>0.97</v>
      </c>
      <c r="L2" s="2">
        <v>7.0319975504267621E-2</v>
      </c>
      <c r="M2" s="1">
        <v>429.82718737243164</v>
      </c>
      <c r="N2" s="2">
        <v>0.44700000000000001</v>
      </c>
      <c r="O2" s="3">
        <v>20.032959888722576</v>
      </c>
      <c r="P2">
        <v>0.97</v>
      </c>
      <c r="Q2">
        <v>3.0000000000000027E-2</v>
      </c>
      <c r="R2">
        <v>79.8</v>
      </c>
      <c r="T2">
        <v>0.78</v>
      </c>
    </row>
    <row r="3" spans="1:28" x14ac:dyDescent="0.45">
      <c r="A3">
        <v>2022</v>
      </c>
      <c r="B3">
        <v>2</v>
      </c>
      <c r="C3">
        <v>36040000</v>
      </c>
      <c r="D3" s="5">
        <v>0.443</v>
      </c>
      <c r="E3" s="1">
        <v>15965720</v>
      </c>
      <c r="F3">
        <v>123143</v>
      </c>
      <c r="G3" s="1">
        <v>292.66787393518103</v>
      </c>
      <c r="H3" s="2">
        <v>4</v>
      </c>
      <c r="I3" s="3">
        <v>5</v>
      </c>
      <c r="J3" s="3">
        <v>73.166968483795259</v>
      </c>
      <c r="K3" s="5">
        <v>0.81</v>
      </c>
      <c r="L3" s="2">
        <v>0.196385284699098</v>
      </c>
      <c r="M3" s="1">
        <v>129.65186815328519</v>
      </c>
      <c r="N3" s="2">
        <v>0.443</v>
      </c>
      <c r="O3" s="3">
        <v>14.633393696759052</v>
      </c>
      <c r="P3">
        <v>0.81</v>
      </c>
      <c r="Q3">
        <v>0.18999999999999995</v>
      </c>
      <c r="R3">
        <v>69.2</v>
      </c>
      <c r="S3" t="s">
        <v>24</v>
      </c>
      <c r="T3">
        <v>0.68</v>
      </c>
    </row>
    <row r="4" spans="1:28" x14ac:dyDescent="0.45">
      <c r="A4">
        <v>2022</v>
      </c>
      <c r="B4">
        <v>3</v>
      </c>
      <c r="C4">
        <v>18020000</v>
      </c>
      <c r="D4" s="5">
        <v>0.433</v>
      </c>
      <c r="E4" s="1">
        <v>7802660</v>
      </c>
      <c r="F4">
        <v>157646</v>
      </c>
      <c r="G4" s="1">
        <v>114.30673788107532</v>
      </c>
      <c r="H4" s="2">
        <v>2</v>
      </c>
      <c r="I4" s="3">
        <v>4</v>
      </c>
      <c r="J4" s="3">
        <v>57.153368940537661</v>
      </c>
      <c r="K4" s="5">
        <v>0.53</v>
      </c>
      <c r="L4" s="2">
        <v>0.2514097804314821</v>
      </c>
      <c r="M4" s="1">
        <v>49.494817502505612</v>
      </c>
      <c r="N4" s="2">
        <v>0.433</v>
      </c>
      <c r="O4" s="3">
        <v>14.288342235134415</v>
      </c>
      <c r="P4">
        <v>0.53</v>
      </c>
      <c r="Q4">
        <v>0.47</v>
      </c>
      <c r="R4">
        <v>60.6</v>
      </c>
      <c r="S4" t="s">
        <v>25</v>
      </c>
      <c r="T4">
        <v>0.51</v>
      </c>
    </row>
    <row r="5" spans="1:28" x14ac:dyDescent="0.45">
      <c r="A5">
        <v>2022</v>
      </c>
      <c r="B5">
        <v>4</v>
      </c>
      <c r="C5">
        <v>9540000</v>
      </c>
      <c r="D5" s="5">
        <v>0.36</v>
      </c>
      <c r="E5" s="1">
        <v>3434400</v>
      </c>
      <c r="F5">
        <v>302165</v>
      </c>
      <c r="G5" s="1">
        <v>31.572154286565286</v>
      </c>
      <c r="H5" s="2">
        <v>1</v>
      </c>
      <c r="I5" s="3">
        <v>1</v>
      </c>
      <c r="J5" s="3">
        <v>31.572154286565286</v>
      </c>
      <c r="K5" s="5">
        <v>0.22</v>
      </c>
      <c r="L5" s="2">
        <v>0.48188495936515224</v>
      </c>
      <c r="M5" s="1">
        <v>11.365975543163504</v>
      </c>
      <c r="N5" s="2">
        <v>0.36000000000000004</v>
      </c>
      <c r="O5" s="3">
        <v>31.572154286565286</v>
      </c>
      <c r="P5">
        <v>0.22</v>
      </c>
      <c r="Q5">
        <v>0.78</v>
      </c>
      <c r="R5">
        <v>63.2</v>
      </c>
      <c r="T5">
        <v>0.26</v>
      </c>
    </row>
    <row r="6" spans="1:28" x14ac:dyDescent="0.45">
      <c r="A6">
        <v>2022</v>
      </c>
      <c r="B6" t="s">
        <v>12</v>
      </c>
      <c r="C6">
        <v>106000000</v>
      </c>
      <c r="D6" s="5">
        <v>0.43542999999999998</v>
      </c>
      <c r="E6" s="1">
        <v>46155580</v>
      </c>
      <c r="F6">
        <v>627048</v>
      </c>
      <c r="G6" s="1">
        <v>169.04606983835367</v>
      </c>
      <c r="H6">
        <v>2.16</v>
      </c>
      <c r="I6" s="3">
        <v>3.3796296296296293</v>
      </c>
      <c r="J6" s="3">
        <v>78.26206936960817</v>
      </c>
      <c r="K6" s="5">
        <v>0.46650000000000003</v>
      </c>
      <c r="L6" s="2">
        <v>1</v>
      </c>
      <c r="M6" s="1">
        <v>73.607730189714346</v>
      </c>
      <c r="N6" s="2">
        <v>0.43543000000000004</v>
      </c>
      <c r="O6" s="3">
        <v>23.156995868267625</v>
      </c>
      <c r="P6">
        <v>0.47</v>
      </c>
      <c r="Q6">
        <v>0.53</v>
      </c>
      <c r="R6">
        <v>70</v>
      </c>
      <c r="S6" t="s">
        <v>26</v>
      </c>
      <c r="T6">
        <v>0.46</v>
      </c>
      <c r="X6" s="1">
        <v>222255</v>
      </c>
      <c r="Y6" s="2">
        <v>0.35444654954644622</v>
      </c>
      <c r="Z6" s="1">
        <f>C6*0.232</f>
        <v>24592000</v>
      </c>
      <c r="AA6" s="2">
        <f>Z6/C6</f>
        <v>0.23200000000000001</v>
      </c>
      <c r="AB6">
        <v>0.3</v>
      </c>
    </row>
    <row r="7" spans="1:28" x14ac:dyDescent="0.45">
      <c r="A7">
        <v>2023</v>
      </c>
      <c r="B7">
        <v>1</v>
      </c>
      <c r="C7" s="1">
        <v>55527736.5</v>
      </c>
      <c r="D7" s="5">
        <v>0.44700000000000001</v>
      </c>
      <c r="E7">
        <v>24820898.215500001</v>
      </c>
      <c r="F7">
        <v>56444</v>
      </c>
      <c r="G7" s="3">
        <v>983.76685741620008</v>
      </c>
      <c r="H7" s="2">
        <v>8</v>
      </c>
      <c r="I7" s="3">
        <v>6</v>
      </c>
      <c r="J7" s="3">
        <v>122.97085717702501</v>
      </c>
      <c r="K7" s="5">
        <v>0.98</v>
      </c>
      <c r="L7" s="2">
        <v>8.238797255875055E-2</v>
      </c>
      <c r="M7" s="1">
        <v>439.74378526504148</v>
      </c>
      <c r="N7" s="2">
        <v>0.44700000000000006</v>
      </c>
      <c r="O7" s="3">
        <v>20.495142862837501</v>
      </c>
      <c r="P7">
        <v>0.98</v>
      </c>
      <c r="Q7">
        <v>2.0000000000000018E-2</v>
      </c>
      <c r="R7">
        <v>78.5</v>
      </c>
      <c r="S7" t="s">
        <v>27</v>
      </c>
      <c r="T7">
        <v>0.75</v>
      </c>
      <c r="AA7" s="2"/>
    </row>
    <row r="8" spans="1:28" x14ac:dyDescent="0.45">
      <c r="A8">
        <v>2023</v>
      </c>
      <c r="B8">
        <v>2</v>
      </c>
      <c r="C8" s="1">
        <v>39486390.399999999</v>
      </c>
      <c r="D8" s="5">
        <v>0.443</v>
      </c>
      <c r="E8">
        <v>17492470.9472</v>
      </c>
      <c r="F8">
        <v>135422</v>
      </c>
      <c r="G8" s="3">
        <v>291.58032225192363</v>
      </c>
      <c r="H8" s="2">
        <v>4</v>
      </c>
      <c r="I8" s="3">
        <v>5</v>
      </c>
      <c r="J8" s="3">
        <v>72.895080562980908</v>
      </c>
      <c r="K8" s="5">
        <v>0.83</v>
      </c>
      <c r="L8" s="2">
        <v>0.19766749379652607</v>
      </c>
      <c r="M8" s="1">
        <v>129.17008275760216</v>
      </c>
      <c r="N8" s="2">
        <v>0.44299999999999995</v>
      </c>
      <c r="O8" s="3">
        <v>14.579016112596182</v>
      </c>
      <c r="P8">
        <v>0.83</v>
      </c>
      <c r="Q8">
        <v>0.17000000000000004</v>
      </c>
      <c r="R8">
        <v>73.900000000000006</v>
      </c>
      <c r="S8" t="s">
        <v>24</v>
      </c>
      <c r="T8">
        <v>0.67</v>
      </c>
      <c r="AA8" s="2"/>
    </row>
    <row r="9" spans="1:28" x14ac:dyDescent="0.45">
      <c r="A9">
        <v>2023</v>
      </c>
      <c r="B9">
        <v>3</v>
      </c>
      <c r="C9" s="1">
        <v>18509245.5</v>
      </c>
      <c r="D9" s="5">
        <v>0.433</v>
      </c>
      <c r="E9">
        <v>8014503.3015000001</v>
      </c>
      <c r="F9">
        <v>168140</v>
      </c>
      <c r="G9" s="3">
        <v>110.08234506958487</v>
      </c>
      <c r="H9" s="2">
        <v>2</v>
      </c>
      <c r="I9" s="3">
        <v>4</v>
      </c>
      <c r="J9" s="3">
        <v>55.041172534792437</v>
      </c>
      <c r="K9" s="5">
        <v>0.56000000000000005</v>
      </c>
      <c r="L9" s="2">
        <v>0.24542402568968033</v>
      </c>
      <c r="M9" s="1">
        <v>47.665655415130246</v>
      </c>
      <c r="N9" s="2">
        <v>0.43299999999999994</v>
      </c>
      <c r="O9" s="3">
        <v>13.760293133698109</v>
      </c>
      <c r="P9">
        <v>0.56000000000000005</v>
      </c>
      <c r="Q9">
        <v>0.43999999999999995</v>
      </c>
      <c r="R9">
        <v>71.3</v>
      </c>
      <c r="S9" t="s">
        <v>25</v>
      </c>
      <c r="T9">
        <v>0.49</v>
      </c>
      <c r="AA9" s="2"/>
    </row>
    <row r="10" spans="1:28" x14ac:dyDescent="0.45">
      <c r="A10">
        <v>2023</v>
      </c>
      <c r="B10">
        <v>4</v>
      </c>
      <c r="C10" s="1">
        <v>9871597.5999999996</v>
      </c>
      <c r="D10" s="5">
        <v>0.36</v>
      </c>
      <c r="E10">
        <v>3553775.1359999999</v>
      </c>
      <c r="F10">
        <v>325094</v>
      </c>
      <c r="G10" s="3">
        <v>30.365363863990105</v>
      </c>
      <c r="H10" s="2">
        <v>1</v>
      </c>
      <c r="I10" s="3">
        <v>2</v>
      </c>
      <c r="J10" s="3">
        <v>30.365363863990105</v>
      </c>
      <c r="K10" s="5">
        <v>0.22</v>
      </c>
      <c r="L10" s="2">
        <v>0.47452050795504308</v>
      </c>
      <c r="M10" s="1">
        <v>10.931530991036439</v>
      </c>
      <c r="N10" s="2">
        <v>0.36000000000000004</v>
      </c>
      <c r="O10" s="3">
        <v>15.182681931995052</v>
      </c>
      <c r="P10">
        <v>0.22</v>
      </c>
      <c r="Q10">
        <v>0.78</v>
      </c>
      <c r="R10">
        <v>72.900000000000006</v>
      </c>
      <c r="T10">
        <v>0.26</v>
      </c>
      <c r="AA10" s="2"/>
    </row>
    <row r="11" spans="1:28" x14ac:dyDescent="0.45">
      <c r="A11">
        <v>2023</v>
      </c>
      <c r="B11" t="s">
        <v>12</v>
      </c>
      <c r="C11">
        <v>123394970</v>
      </c>
      <c r="D11" s="5">
        <v>0.43665999999999999</v>
      </c>
      <c r="E11">
        <v>53881647.600199997</v>
      </c>
      <c r="F11">
        <v>685100</v>
      </c>
      <c r="G11" s="3">
        <v>180.11234856225369</v>
      </c>
      <c r="H11" s="2">
        <v>2.19</v>
      </c>
      <c r="I11" s="3">
        <v>3.5</v>
      </c>
      <c r="J11" s="3">
        <v>82.24308153527565</v>
      </c>
      <c r="K11" s="5">
        <v>0.48599999999999999</v>
      </c>
      <c r="L11" s="2">
        <v>1</v>
      </c>
      <c r="M11" s="1">
        <v>78.647858123193686</v>
      </c>
      <c r="N11" s="2">
        <v>0.43665999999999994</v>
      </c>
      <c r="O11" s="3">
        <v>23.498023295793043</v>
      </c>
      <c r="P11">
        <v>0.49</v>
      </c>
      <c r="Q11">
        <v>0.51</v>
      </c>
      <c r="R11">
        <v>80</v>
      </c>
      <c r="S11" t="s">
        <v>26</v>
      </c>
      <c r="T11">
        <v>0.46</v>
      </c>
      <c r="X11" s="1">
        <v>245399</v>
      </c>
      <c r="Y11" s="2">
        <v>0.35819442417165376</v>
      </c>
      <c r="Z11" s="1">
        <f>C11*0.2599</f>
        <v>32070352.703000002</v>
      </c>
      <c r="AA11" s="2">
        <f>Z11/C11</f>
        <v>0.25990000000000002</v>
      </c>
      <c r="AB11">
        <v>0.32</v>
      </c>
    </row>
    <row r="12" spans="1:28" x14ac:dyDescent="0.45">
      <c r="A12">
        <v>2024</v>
      </c>
      <c r="B12">
        <v>1</v>
      </c>
      <c r="C12" s="1">
        <v>53390966.339999996</v>
      </c>
      <c r="D12" s="5">
        <v>0.44700000000000001</v>
      </c>
      <c r="E12" s="1">
        <v>23865761.953979999</v>
      </c>
      <c r="F12">
        <v>55732</v>
      </c>
      <c r="G12" s="1">
        <v>957.99480262685699</v>
      </c>
      <c r="H12" s="2">
        <v>8</v>
      </c>
      <c r="I12" s="3">
        <v>6</v>
      </c>
      <c r="J12" s="3">
        <v>125</v>
      </c>
      <c r="K12" s="5">
        <v>0.98</v>
      </c>
      <c r="L12" s="2">
        <v>7.7362898512903303E-2</v>
      </c>
      <c r="M12" s="1">
        <v>428.2236767742051</v>
      </c>
      <c r="N12" s="2">
        <v>0.44700000000000001</v>
      </c>
      <c r="O12" s="3">
        <v>20.833333333333332</v>
      </c>
      <c r="P12">
        <v>0.98</v>
      </c>
      <c r="Q12">
        <v>2.0000000000000018E-2</v>
      </c>
      <c r="R12">
        <v>72.3</v>
      </c>
      <c r="S12" t="s">
        <v>27</v>
      </c>
      <c r="T12">
        <v>0.72</v>
      </c>
      <c r="U12">
        <v>0.75</v>
      </c>
      <c r="V12" s="2">
        <v>0.73</v>
      </c>
      <c r="W12">
        <v>0.75</v>
      </c>
      <c r="AA12" s="2"/>
    </row>
    <row r="13" spans="1:28" x14ac:dyDescent="0.45">
      <c r="A13">
        <v>2024</v>
      </c>
      <c r="B13">
        <v>2</v>
      </c>
      <c r="C13" s="1">
        <v>39732812.160000004</v>
      </c>
      <c r="D13" s="5">
        <v>0.443</v>
      </c>
      <c r="E13" s="1">
        <v>17601635.786880001</v>
      </c>
      <c r="F13">
        <v>137281</v>
      </c>
      <c r="G13" s="1">
        <v>289.4268847109214</v>
      </c>
      <c r="H13" s="2">
        <v>4</v>
      </c>
      <c r="I13" s="3">
        <v>5</v>
      </c>
      <c r="J13" s="3">
        <v>79</v>
      </c>
      <c r="K13" s="5">
        <v>0.86</v>
      </c>
      <c r="L13" s="2">
        <v>0.19056298124506349</v>
      </c>
      <c r="M13" s="1">
        <v>128.2161099269382</v>
      </c>
      <c r="N13" s="2">
        <v>0.44300000000000006</v>
      </c>
      <c r="O13" s="3">
        <v>15.8</v>
      </c>
      <c r="P13">
        <v>0.86</v>
      </c>
      <c r="Q13">
        <v>0.14000000000000001</v>
      </c>
      <c r="R13">
        <v>67.599999999999994</v>
      </c>
      <c r="S13" t="s">
        <v>24</v>
      </c>
      <c r="T13">
        <v>0.66</v>
      </c>
      <c r="U13">
        <v>0.67</v>
      </c>
      <c r="V13" s="2">
        <v>0.67</v>
      </c>
      <c r="W13">
        <v>0.62</v>
      </c>
      <c r="AA13" s="2"/>
    </row>
    <row r="14" spans="1:28" x14ac:dyDescent="0.45">
      <c r="A14">
        <v>2024</v>
      </c>
      <c r="B14">
        <v>3</v>
      </c>
      <c r="C14" s="1">
        <v>19866406.080000002</v>
      </c>
      <c r="D14" s="5">
        <v>0.433</v>
      </c>
      <c r="E14" s="1">
        <v>8602153.8326400016</v>
      </c>
      <c r="F14">
        <v>178366</v>
      </c>
      <c r="G14" s="1">
        <v>111.38000560644967</v>
      </c>
      <c r="H14" s="2">
        <v>2</v>
      </c>
      <c r="I14" s="3">
        <v>4</v>
      </c>
      <c r="J14" s="3">
        <v>55</v>
      </c>
      <c r="K14" s="5">
        <v>0.64</v>
      </c>
      <c r="L14" s="2">
        <v>0.24759403495572579</v>
      </c>
      <c r="M14" s="1">
        <v>48.227542427592709</v>
      </c>
      <c r="N14" s="2">
        <v>0.433</v>
      </c>
      <c r="O14" s="3">
        <v>13.75</v>
      </c>
      <c r="P14">
        <v>0.64</v>
      </c>
      <c r="Q14">
        <v>0.36</v>
      </c>
      <c r="R14">
        <v>56.7</v>
      </c>
      <c r="S14" t="s">
        <v>25</v>
      </c>
      <c r="T14">
        <v>0.5</v>
      </c>
      <c r="U14">
        <v>0.41</v>
      </c>
      <c r="V14" s="2">
        <v>0.15</v>
      </c>
      <c r="W14">
        <v>0.26</v>
      </c>
      <c r="AA14" s="2"/>
    </row>
    <row r="15" spans="1:28" x14ac:dyDescent="0.45">
      <c r="A15">
        <v>2024</v>
      </c>
      <c r="B15">
        <v>4</v>
      </c>
      <c r="C15" s="1">
        <v>11174853.42</v>
      </c>
      <c r="D15" s="5">
        <v>0.36</v>
      </c>
      <c r="E15" s="1">
        <v>4022947.2311999998</v>
      </c>
      <c r="F15">
        <v>349018</v>
      </c>
      <c r="G15" s="1">
        <v>32.017985949148752</v>
      </c>
      <c r="H15" s="2">
        <v>1</v>
      </c>
      <c r="I15" s="3">
        <v>2</v>
      </c>
      <c r="J15" s="3">
        <v>25</v>
      </c>
      <c r="K15" s="5">
        <v>0.34</v>
      </c>
      <c r="L15" s="2">
        <v>0.48448008528630743</v>
      </c>
      <c r="M15" s="1">
        <v>11.526474941693552</v>
      </c>
      <c r="N15" s="2">
        <v>0.36000000000000004</v>
      </c>
      <c r="O15" s="3">
        <v>12.5</v>
      </c>
      <c r="P15">
        <v>0.34</v>
      </c>
      <c r="Q15">
        <v>0.65999999999999992</v>
      </c>
      <c r="R15">
        <v>58.1</v>
      </c>
      <c r="T15">
        <v>0.25</v>
      </c>
      <c r="U15">
        <v>0.18</v>
      </c>
      <c r="V15" s="2">
        <v>0.1</v>
      </c>
      <c r="W15">
        <v>0.13</v>
      </c>
      <c r="AA15" s="2"/>
    </row>
    <row r="16" spans="1:28" x14ac:dyDescent="0.45">
      <c r="A16">
        <v>2024</v>
      </c>
      <c r="B16" t="s">
        <v>12</v>
      </c>
      <c r="C16" s="1">
        <v>124165038</v>
      </c>
      <c r="D16" s="5">
        <v>0.43565000000000004</v>
      </c>
      <c r="E16" s="1">
        <v>54092498.804700002</v>
      </c>
      <c r="F16">
        <v>720397</v>
      </c>
      <c r="G16" s="1">
        <v>172.35640625932646</v>
      </c>
      <c r="H16" s="2">
        <v>2.1988800000000004</v>
      </c>
      <c r="I16" s="3">
        <v>3.6026851851851851</v>
      </c>
      <c r="J16" s="3">
        <v>78.38</v>
      </c>
      <c r="K16" s="5">
        <v>0.56279999999999997</v>
      </c>
      <c r="L16" s="2">
        <v>1</v>
      </c>
      <c r="M16" s="1">
        <v>75.087068386875572</v>
      </c>
      <c r="N16" s="2">
        <v>0.43564999999999998</v>
      </c>
      <c r="O16" s="3">
        <v>21.755994756997094</v>
      </c>
      <c r="P16">
        <v>0.56000000000000005</v>
      </c>
      <c r="Q16">
        <v>0.43999999999999995</v>
      </c>
      <c r="R16">
        <v>67</v>
      </c>
      <c r="S16" t="s">
        <v>27</v>
      </c>
      <c r="T16">
        <v>0.45</v>
      </c>
      <c r="U16">
        <v>0.37</v>
      </c>
      <c r="V16" s="2">
        <v>0.27</v>
      </c>
      <c r="W16">
        <v>0.3</v>
      </c>
      <c r="X16" s="1">
        <f>F16*0.2857</f>
        <v>205817.42290000001</v>
      </c>
      <c r="Y16" s="2">
        <v>0.28570000000000001</v>
      </c>
      <c r="Z16" s="1">
        <f>C16*0.2074</f>
        <v>25751828.881200001</v>
      </c>
      <c r="AA16" s="2">
        <f>Z16/C16</f>
        <v>0.2074</v>
      </c>
      <c r="AB16">
        <v>0.26</v>
      </c>
    </row>
    <row r="17" spans="3:27" x14ac:dyDescent="0.45">
      <c r="J17" s="3"/>
      <c r="AA17" s="2"/>
    </row>
    <row r="18" spans="3:27" x14ac:dyDescent="0.45">
      <c r="C18" s="4"/>
      <c r="J18" s="3"/>
      <c r="AA18" s="2"/>
    </row>
    <row r="19" spans="3:27" x14ac:dyDescent="0.45">
      <c r="C19" s="4"/>
      <c r="AA19" s="2"/>
    </row>
    <row r="20" spans="3:27" x14ac:dyDescent="0.45">
      <c r="C20" s="4"/>
    </row>
    <row r="21" spans="3:27" x14ac:dyDescent="0.45">
      <c r="C21" s="4"/>
    </row>
    <row r="22" spans="3:27" x14ac:dyDescent="0.45">
      <c r="C22" s="4"/>
      <c r="I22" s="3"/>
    </row>
    <row r="23" spans="3:27" x14ac:dyDescent="0.45">
      <c r="C23" s="4"/>
    </row>
    <row r="24" spans="3:27" x14ac:dyDescent="0.45">
      <c r="C24" s="4"/>
    </row>
    <row r="25" spans="3:27" x14ac:dyDescent="0.45">
      <c r="C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data_vista1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Viloria salazar</dc:creator>
  <cp:lastModifiedBy>iris Viloria salazar</cp:lastModifiedBy>
  <dcterms:created xsi:type="dcterms:W3CDTF">2026-09-24T15:53:26Z</dcterms:created>
  <dcterms:modified xsi:type="dcterms:W3CDTF">2026-09-28T23:06:33Z</dcterms:modified>
</cp:coreProperties>
</file>